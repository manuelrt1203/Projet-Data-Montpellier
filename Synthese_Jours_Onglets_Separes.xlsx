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manue\"/>
    </mc:Choice>
  </mc:AlternateContent>
  <xr:revisionPtr revIDLastSave="0" documentId="13_ncr:1_{AC50362B-4189-44CD-84FE-459ADFC4006B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Synthese_Voitures" sheetId="1" r:id="rId1"/>
    <sheet name="Synthese_Velos" sheetId="2" r:id="rId2"/>
    <sheet name="Synthese_Globale_Ville" sheetId="3" r:id="rId3"/>
    <sheet name="Feuil1" sheetId="4" r:id="rId4"/>
  </sheets>
  <calcPr calcId="191029"/>
  <pivotCaches>
    <pivotCache cacheId="1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</calcChain>
</file>

<file path=xl/sharedStrings.xml><?xml version="1.0" encoding="utf-8"?>
<sst xmlns="http://schemas.openxmlformats.org/spreadsheetml/2006/main" count="46" uniqueCount="16">
  <si>
    <t>Date_Jour</t>
  </si>
  <si>
    <t>Nom_Jour</t>
  </si>
  <si>
    <t>Occupants</t>
  </si>
  <si>
    <t>Capacite</t>
  </si>
  <si>
    <t>Taux</t>
  </si>
  <si>
    <t>Mercredi</t>
  </si>
  <si>
    <t>Jeudi</t>
  </si>
  <si>
    <t>Vendredi</t>
  </si>
  <si>
    <t>Samedi</t>
  </si>
  <si>
    <t>Dimanche</t>
  </si>
  <si>
    <t>Lundi</t>
  </si>
  <si>
    <t>Mardi</t>
  </si>
  <si>
    <t>Taux d'occupation</t>
  </si>
  <si>
    <t>Somme de Taux</t>
  </si>
  <si>
    <t>Total général</t>
  </si>
  <si>
    <t>Moyenne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</si>
</sst>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2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Synthese_Voitures!$C$1</c:f>
              <c:strCache>
                <c:ptCount val="1"/>
                <c:pt idx="0">
                  <c:v>Occupants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Synthese_Voitures!$A$2:$A$10</c:f>
              <c:numCache>
                <c:formatCode>yyyy\-mm\-dd</c:formatCode>
                <c:ptCount val="9"/>
                <c:pt idx="0">
                  <c:v>46015</c:v>
                </c:pt>
                <c:pt idx="1">
                  <c:v>46016</c:v>
                </c:pt>
                <c:pt idx="2">
                  <c:v>46017</c:v>
                </c:pt>
                <c:pt idx="3">
                  <c:v>46018</c:v>
                </c:pt>
                <c:pt idx="4">
                  <c:v>46019</c:v>
                </c:pt>
                <c:pt idx="5">
                  <c:v>46020</c:v>
                </c:pt>
                <c:pt idx="6">
                  <c:v>46021</c:v>
                </c:pt>
                <c:pt idx="7">
                  <c:v>46022</c:v>
                </c:pt>
                <c:pt idx="8">
                  <c:v>46023</c:v>
                </c:pt>
              </c:numCache>
            </c:numRef>
          </c:cat>
          <c:val>
            <c:numRef>
              <c:f>Synthese_Voitures!$C$2:$C$10</c:f>
              <c:numCache>
                <c:formatCode>General</c:formatCode>
                <c:ptCount val="9"/>
                <c:pt idx="0">
                  <c:v>4035</c:v>
                </c:pt>
                <c:pt idx="1">
                  <c:v>2606</c:v>
                </c:pt>
                <c:pt idx="2">
                  <c:v>3745</c:v>
                </c:pt>
                <c:pt idx="3">
                  <c:v>3846</c:v>
                </c:pt>
                <c:pt idx="4">
                  <c:v>3462</c:v>
                </c:pt>
                <c:pt idx="5">
                  <c:v>4101</c:v>
                </c:pt>
                <c:pt idx="6">
                  <c:v>4305</c:v>
                </c:pt>
                <c:pt idx="7">
                  <c:v>4121</c:v>
                </c:pt>
                <c:pt idx="8">
                  <c:v>4080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CD-4D19-8E92-066408F490B8}"/>
            </c:ext>
          </c:extLst>
        </c:ser>
        <c:ser>
          <c:idx val="1"/>
          <c:order val="1"/>
          <c:tx>
            <c:strRef>
              <c:f>Synthese_Voitures!$D$1</c:f>
              <c:strCache>
                <c:ptCount val="1"/>
                <c:pt idx="0">
                  <c:v>Capacite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Synthese_Voitures!$A$2:$A$10</c:f>
              <c:numCache>
                <c:formatCode>yyyy\-mm\-dd</c:formatCode>
                <c:ptCount val="9"/>
                <c:pt idx="0">
                  <c:v>46015</c:v>
                </c:pt>
                <c:pt idx="1">
                  <c:v>46016</c:v>
                </c:pt>
                <c:pt idx="2">
                  <c:v>46017</c:v>
                </c:pt>
                <c:pt idx="3">
                  <c:v>46018</c:v>
                </c:pt>
                <c:pt idx="4">
                  <c:v>46019</c:v>
                </c:pt>
                <c:pt idx="5">
                  <c:v>46020</c:v>
                </c:pt>
                <c:pt idx="6">
                  <c:v>46021</c:v>
                </c:pt>
                <c:pt idx="7">
                  <c:v>46022</c:v>
                </c:pt>
                <c:pt idx="8">
                  <c:v>46023</c:v>
                </c:pt>
              </c:numCache>
            </c:numRef>
          </c:cat>
          <c:val>
            <c:numRef>
              <c:f>Synthese_Voitures!$D$2:$D$10</c:f>
              <c:numCache>
                <c:formatCode>General</c:formatCode>
                <c:ptCount val="9"/>
                <c:pt idx="0">
                  <c:v>11991</c:v>
                </c:pt>
                <c:pt idx="1">
                  <c:v>11991</c:v>
                </c:pt>
                <c:pt idx="2">
                  <c:v>11991</c:v>
                </c:pt>
                <c:pt idx="3">
                  <c:v>11991</c:v>
                </c:pt>
                <c:pt idx="4">
                  <c:v>11991</c:v>
                </c:pt>
                <c:pt idx="5">
                  <c:v>11991</c:v>
                </c:pt>
                <c:pt idx="6">
                  <c:v>11991</c:v>
                </c:pt>
                <c:pt idx="7">
                  <c:v>11991</c:v>
                </c:pt>
                <c:pt idx="8">
                  <c:v>11991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CD-4D19-8E92-066408F490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0"/>
        <c:overlap val="-27"/>
        <c:axId val="328726832"/>
        <c:axId val="328727312"/>
      </c:barChart>
      <c:lineChart>
        <c:grouping val="standard"/>
        <c:varyColors val="0"/>
        <c:ser>
          <c:idx val="2"/>
          <c:order val="2"/>
          <c:tx>
            <c:strRef>
              <c:f>Synthese_Voitures!$E$1</c:f>
              <c:strCache>
                <c:ptCount val="1"/>
                <c:pt idx="0">
                  <c:v>Taux d'occupation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Synthese_Voitures!$A$2:$A$10</c:f>
              <c:numCache>
                <c:formatCode>yyyy\-mm\-dd</c:formatCode>
                <c:ptCount val="9"/>
                <c:pt idx="0">
                  <c:v>46015</c:v>
                </c:pt>
                <c:pt idx="1">
                  <c:v>46016</c:v>
                </c:pt>
                <c:pt idx="2">
                  <c:v>46017</c:v>
                </c:pt>
                <c:pt idx="3">
                  <c:v>46018</c:v>
                </c:pt>
                <c:pt idx="4">
                  <c:v>46019</c:v>
                </c:pt>
                <c:pt idx="5">
                  <c:v>46020</c:v>
                </c:pt>
                <c:pt idx="6">
                  <c:v>46021</c:v>
                </c:pt>
                <c:pt idx="7">
                  <c:v>46022</c:v>
                </c:pt>
                <c:pt idx="8">
                  <c:v>46023</c:v>
                </c:pt>
              </c:numCache>
            </c:numRef>
          </c:cat>
          <c:val>
            <c:numRef>
              <c:f>Synthese_Voitures!$E$2:$E$10</c:f>
              <c:numCache>
                <c:formatCode>General</c:formatCode>
                <c:ptCount val="9"/>
                <c:pt idx="0">
                  <c:v>33.65</c:v>
                </c:pt>
                <c:pt idx="1">
                  <c:v>21.73</c:v>
                </c:pt>
                <c:pt idx="2">
                  <c:v>31.23</c:v>
                </c:pt>
                <c:pt idx="3">
                  <c:v>32.08</c:v>
                </c:pt>
                <c:pt idx="4">
                  <c:v>28.88</c:v>
                </c:pt>
                <c:pt idx="5">
                  <c:v>34.21</c:v>
                </c:pt>
                <c:pt idx="6">
                  <c:v>35.9</c:v>
                </c:pt>
                <c:pt idx="7">
                  <c:v>34.369999999999997</c:v>
                </c:pt>
                <c:pt idx="8">
                  <c:v>34.03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8CD-4D19-8E92-066408F490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5894416"/>
        <c:axId val="325895376"/>
      </c:lineChart>
      <c:dateAx>
        <c:axId val="3287268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Date_Jour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yyyy\-mm\-dd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28727312"/>
        <c:crosses val="autoZero"/>
        <c:auto val="1"/>
        <c:lblOffset val="100"/>
        <c:baseTimeUnit val="days"/>
      </c:dateAx>
      <c:valAx>
        <c:axId val="32872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28726832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</c:dispUnitsLbl>
        </c:dispUnits>
      </c:valAx>
      <c:valAx>
        <c:axId val="325895376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Taux d'occupation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25894416"/>
        <c:crosses val="max"/>
        <c:crossBetween val="between"/>
      </c:valAx>
      <c:dateAx>
        <c:axId val="325894416"/>
        <c:scaling>
          <c:orientation val="minMax"/>
        </c:scaling>
        <c:delete val="1"/>
        <c:axPos val="b"/>
        <c:numFmt formatCode="yyyy\-mm\-dd" sourceLinked="1"/>
        <c:majorTickMark val="out"/>
        <c:minorTickMark val="none"/>
        <c:tickLblPos val="nextTo"/>
        <c:crossAx val="325895376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[Synthese_Jours_Onglets_Separes.xlsx]Feuil1!Tableau croisé dynamique1</c:name>
    <c:fmtId val="1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  <c:pivotFmt>
        <c:idx val="2"/>
        <c:spPr>
          <a:ln w="25400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14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solidFill>
              <a:srgbClr val="4F81BD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5400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14"/>
          <c:spPr>
            <a:solidFill>
              <a:schemeClr val="accent1"/>
            </a:solidFill>
            <a:ln>
              <a:noFill/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Feuil1!$B$2</c:f>
              <c:strCache>
                <c:ptCount val="1"/>
                <c:pt idx="0">
                  <c:v>Total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14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Pt>
            <c:idx val="8"/>
            <c:marker>
              <c:symbol val="circle"/>
              <c:size val="14"/>
              <c:spPr>
                <a:solidFill>
                  <a:schemeClr val="accent1"/>
                </a:solidFill>
                <a:ln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942B-477E-BDDB-20EC7280432F}"/>
              </c:ext>
            </c:extLst>
          </c:dPt>
          <c:dLbls>
            <c:spPr>
              <a:solidFill>
                <a:srgbClr val="4F81BD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Feuil1!$A$3:$A$12</c:f>
              <c:strCache>
                <c:ptCount val="9"/>
                <c:pt idx="0">
                  <c:v>2025-12-24</c:v>
                </c:pt>
                <c:pt idx="1">
                  <c:v>2025-12-25</c:v>
                </c:pt>
                <c:pt idx="2">
                  <c:v>2025-12-26</c:v>
                </c:pt>
                <c:pt idx="3">
                  <c:v>2025-12-27</c:v>
                </c:pt>
                <c:pt idx="4">
                  <c:v>2025-12-28</c:v>
                </c:pt>
                <c:pt idx="5">
                  <c:v>2025-12-29</c:v>
                </c:pt>
                <c:pt idx="6">
                  <c:v>2025-12-30</c:v>
                </c:pt>
                <c:pt idx="7">
                  <c:v>2025-12-31</c:v>
                </c:pt>
                <c:pt idx="8">
                  <c:v>2026-01-01</c:v>
                </c:pt>
              </c:strCache>
            </c:strRef>
          </c:cat>
          <c:val>
            <c:numRef>
              <c:f>Feuil1!$B$3:$B$12</c:f>
              <c:numCache>
                <c:formatCode>General</c:formatCode>
                <c:ptCount val="9"/>
                <c:pt idx="0">
                  <c:v>41.36</c:v>
                </c:pt>
                <c:pt idx="1">
                  <c:v>41.22</c:v>
                </c:pt>
                <c:pt idx="2">
                  <c:v>40.950000000000003</c:v>
                </c:pt>
                <c:pt idx="3">
                  <c:v>40.840000000000003</c:v>
                </c:pt>
                <c:pt idx="4">
                  <c:v>40.229999999999997</c:v>
                </c:pt>
                <c:pt idx="5">
                  <c:v>39.590000000000003</c:v>
                </c:pt>
                <c:pt idx="6">
                  <c:v>39.89</c:v>
                </c:pt>
                <c:pt idx="7">
                  <c:v>40.409999999999997</c:v>
                </c:pt>
                <c:pt idx="8">
                  <c:v>38.299999999999997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42B-477E-BDDB-20EC7280432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2109653056"/>
        <c:axId val="2109653536"/>
      </c:lineChart>
      <c:catAx>
        <c:axId val="21096530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Date_Jour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09653536"/>
        <c:crosses val="autoZero"/>
        <c:auto val="1"/>
        <c:lblAlgn val="ctr"/>
        <c:lblOffset val="100"/>
        <c:noMultiLvlLbl val="0"/>
      </c:catAx>
      <c:valAx>
        <c:axId val="2109653536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Taux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crossAx val="2109653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« Occupants », « Capacite », « Taux » par « Date_Jour »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Synthese_Globale_Ville!$C$1</c:f>
              <c:strCache>
                <c:ptCount val="1"/>
                <c:pt idx="0">
                  <c:v>Occupants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Synthese_Globale_Ville!$A$2:$A$10</c:f>
              <c:numCache>
                <c:formatCode>yyyy\-mm\-dd</c:formatCode>
                <c:ptCount val="9"/>
                <c:pt idx="0">
                  <c:v>46015</c:v>
                </c:pt>
                <c:pt idx="1">
                  <c:v>46016</c:v>
                </c:pt>
                <c:pt idx="2">
                  <c:v>46017</c:v>
                </c:pt>
                <c:pt idx="3">
                  <c:v>46018</c:v>
                </c:pt>
                <c:pt idx="4">
                  <c:v>46019</c:v>
                </c:pt>
                <c:pt idx="5">
                  <c:v>46020</c:v>
                </c:pt>
                <c:pt idx="6">
                  <c:v>46021</c:v>
                </c:pt>
                <c:pt idx="7">
                  <c:v>46022</c:v>
                </c:pt>
                <c:pt idx="8">
                  <c:v>46023</c:v>
                </c:pt>
              </c:numCache>
            </c:numRef>
          </c:cat>
          <c:val>
            <c:numRef>
              <c:f>Synthese_Globale_Ville!$C$2:$C$10</c:f>
              <c:numCache>
                <c:formatCode>General</c:formatCode>
                <c:ptCount val="9"/>
                <c:pt idx="0">
                  <c:v>4325.863636363636</c:v>
                </c:pt>
                <c:pt idx="1">
                  <c:v>2895.9027777777778</c:v>
                </c:pt>
                <c:pt idx="2">
                  <c:v>4032.9305555555561</c:v>
                </c:pt>
                <c:pt idx="3">
                  <c:v>4133.8472222222226</c:v>
                </c:pt>
                <c:pt idx="4">
                  <c:v>3745.7482517482522</c:v>
                </c:pt>
                <c:pt idx="5">
                  <c:v>4379.8194444444443</c:v>
                </c:pt>
                <c:pt idx="6">
                  <c:v>4585.6944444444443</c:v>
                </c:pt>
                <c:pt idx="7">
                  <c:v>4405.729166666667</c:v>
                </c:pt>
                <c:pt idx="8">
                  <c:v>4349.8557692307704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A6-46DF-874E-145D9C4576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0"/>
        <c:overlap val="-27"/>
        <c:axId val="213611968"/>
        <c:axId val="213607648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Synthese_Globale_Ville!$D$1</c15:sqref>
                        </c15:formulaRef>
                      </c:ext>
                    </c:extLst>
                    <c:strCache>
                      <c:ptCount val="1"/>
                      <c:pt idx="0">
                        <c:v>Capacite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Synthese_Globale_Ville!$A$2:$A$10</c15:sqref>
                        </c15:formulaRef>
                      </c:ext>
                    </c:extLst>
                    <c:numCache>
                      <c:formatCode>yyyy\-mm\-dd</c:formatCode>
                      <c:ptCount val="9"/>
                      <c:pt idx="0">
                        <c:v>46015</c:v>
                      </c:pt>
                      <c:pt idx="1">
                        <c:v>46016</c:v>
                      </c:pt>
                      <c:pt idx="2">
                        <c:v>46017</c:v>
                      </c:pt>
                      <c:pt idx="3">
                        <c:v>46018</c:v>
                      </c:pt>
                      <c:pt idx="4">
                        <c:v>46019</c:v>
                      </c:pt>
                      <c:pt idx="5">
                        <c:v>46020</c:v>
                      </c:pt>
                      <c:pt idx="6">
                        <c:v>46021</c:v>
                      </c:pt>
                      <c:pt idx="7">
                        <c:v>46022</c:v>
                      </c:pt>
                      <c:pt idx="8">
                        <c:v>46023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Synthese_Globale_Ville!$D$2:$D$10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12694</c:v>
                      </c:pt>
                      <c:pt idx="1">
                        <c:v>12694</c:v>
                      </c:pt>
                      <c:pt idx="2">
                        <c:v>12694</c:v>
                      </c:pt>
                      <c:pt idx="3">
                        <c:v>12694</c:v>
                      </c:pt>
                      <c:pt idx="4">
                        <c:v>12694</c:v>
                      </c:pt>
                      <c:pt idx="5">
                        <c:v>12694</c:v>
                      </c:pt>
                      <c:pt idx="6">
                        <c:v>12694</c:v>
                      </c:pt>
                      <c:pt idx="7">
                        <c:v>12694</c:v>
                      </c:pt>
                      <c:pt idx="8">
                        <c:v>12694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4DA6-46DF-874E-145D9C457603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Synthese_Globale_Ville!$E$1</c:f>
              <c:strCache>
                <c:ptCount val="1"/>
                <c:pt idx="0">
                  <c:v>Taux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Synthese_Globale_Ville!$A$2:$A$10</c:f>
              <c:numCache>
                <c:formatCode>yyyy\-mm\-dd</c:formatCode>
                <c:ptCount val="9"/>
                <c:pt idx="0">
                  <c:v>46015</c:v>
                </c:pt>
                <c:pt idx="1">
                  <c:v>46016</c:v>
                </c:pt>
                <c:pt idx="2">
                  <c:v>46017</c:v>
                </c:pt>
                <c:pt idx="3">
                  <c:v>46018</c:v>
                </c:pt>
                <c:pt idx="4">
                  <c:v>46019</c:v>
                </c:pt>
                <c:pt idx="5">
                  <c:v>46020</c:v>
                </c:pt>
                <c:pt idx="6">
                  <c:v>46021</c:v>
                </c:pt>
                <c:pt idx="7">
                  <c:v>46022</c:v>
                </c:pt>
                <c:pt idx="8">
                  <c:v>46023</c:v>
                </c:pt>
              </c:numCache>
            </c:numRef>
          </c:cat>
          <c:val>
            <c:numRef>
              <c:f>Synthese_Globale_Ville!$E$2:$E$10</c:f>
              <c:numCache>
                <c:formatCode>General</c:formatCode>
                <c:ptCount val="9"/>
                <c:pt idx="0">
                  <c:v>34.08</c:v>
                </c:pt>
                <c:pt idx="1">
                  <c:v>22.81</c:v>
                </c:pt>
                <c:pt idx="2">
                  <c:v>31.77</c:v>
                </c:pt>
                <c:pt idx="3">
                  <c:v>32.57</c:v>
                </c:pt>
                <c:pt idx="4">
                  <c:v>29.51</c:v>
                </c:pt>
                <c:pt idx="5">
                  <c:v>34.5</c:v>
                </c:pt>
                <c:pt idx="6">
                  <c:v>36.119999999999997</c:v>
                </c:pt>
                <c:pt idx="7">
                  <c:v>34.71</c:v>
                </c:pt>
                <c:pt idx="8">
                  <c:v>34.270000000000003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DA6-46DF-874E-145D9C4576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2642688"/>
        <c:axId val="328013920"/>
      </c:lineChart>
      <c:dateAx>
        <c:axId val="2136119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Date_Jour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yyyy\-mm\-dd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3607648"/>
        <c:crosses val="autoZero"/>
        <c:auto val="1"/>
        <c:lblOffset val="100"/>
        <c:baseTimeUnit val="days"/>
      </c:dateAx>
      <c:valAx>
        <c:axId val="213607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3611968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</c:dispUnitsLbl>
        </c:dispUnits>
      </c:valAx>
      <c:valAx>
        <c:axId val="32801392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Taux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82642688"/>
        <c:crosses val="max"/>
        <c:crossBetween val="between"/>
      </c:valAx>
      <c:dateAx>
        <c:axId val="382642688"/>
        <c:scaling>
          <c:orientation val="minMax"/>
        </c:scaling>
        <c:delete val="1"/>
        <c:axPos val="b"/>
        <c:numFmt formatCode="yyyy\-mm\-dd" sourceLinked="1"/>
        <c:majorTickMark val="out"/>
        <c:minorTickMark val="none"/>
        <c:tickLblPos val="nextTo"/>
        <c:crossAx val="328013920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371475</xdr:colOff>
      <xdr:row>13</xdr:row>
      <xdr:rowOff>142875</xdr:rowOff>
    </xdr:from>
    <xdr:to>
      <xdr:col>10</xdr:col>
      <xdr:colOff>174625</xdr:colOff>
      <xdr:row>31</xdr:row>
      <xdr:rowOff>12700</xdr:rowOff>
    </xdr:to>
    <xdr:graphicFrame macro="">
      <xdr:nvGraphicFramePr>
        <xdr:cNvPr id="2" name="Graphique 1" descr="Type de graphique : Histogramme groupé, Courbes. « Occupants », « Capacite », « Taux d'occupation » par « Date_Jour »&#10;&#10;Description générée automatiquement">
          <a:extLst>
            <a:ext uri="{FF2B5EF4-FFF2-40B4-BE49-F238E27FC236}">
              <a16:creationId xmlns:a16="http://schemas.microsoft.com/office/drawing/2014/main" id="{2202C5FA-7C11-5215-3C10-8C0D5AD464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190501</xdr:colOff>
      <xdr:row>10</xdr:row>
      <xdr:rowOff>180975</xdr:rowOff>
    </xdr:from>
    <xdr:to>
      <xdr:col>11</xdr:col>
      <xdr:colOff>342900</xdr:colOff>
      <xdr:row>28</xdr:row>
      <xdr:rowOff>114300</xdr:rowOff>
    </xdr:to>
    <xdr:graphicFrame macro="">
      <xdr:nvGraphicFramePr>
        <xdr:cNvPr id="2" name="Graphique 1" descr="Type de graphique : Courbes. « Taux » a une valeur hors norme à « Date_Jour » : 2026-01-01.&#10;&#10;Description générée automatiquement">
          <a:extLst>
            <a:ext uri="{FF2B5EF4-FFF2-40B4-BE49-F238E27FC236}">
              <a16:creationId xmlns:a16="http://schemas.microsoft.com/office/drawing/2014/main" id="{92D9128E-DC05-F699-3A2C-91F7AA112E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152400</xdr:colOff>
      <xdr:row>13</xdr:row>
      <xdr:rowOff>85725</xdr:rowOff>
    </xdr:from>
    <xdr:to>
      <xdr:col>11</xdr:col>
      <xdr:colOff>527050</xdr:colOff>
      <xdr:row>31</xdr:row>
      <xdr:rowOff>12700</xdr:rowOff>
    </xdr:to>
    <xdr:graphicFrame macro="">
      <xdr:nvGraphicFramePr>
        <xdr:cNvPr id="2" name="Graphique 1" descr="Type de graphique : Histogramme groupé, Courbes. « Occupants », « Capacite », « Taux » par « Date_Jour »&#10;&#10;Description générée automatiquement">
          <a:extLst>
            <a:ext uri="{FF2B5EF4-FFF2-40B4-BE49-F238E27FC236}">
              <a16:creationId xmlns:a16="http://schemas.microsoft.com/office/drawing/2014/main" id="{9C5C85CB-2D0C-7B75-F875-7B5EC456DF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drigue Emmanuel TOMBE" refreshedDate="46034.636807523151" createdVersion="8" refreshedVersion="8" minRefreshableVersion="3" recordCount="9" xr:uid="{F905C65D-62CD-4E19-B871-3F219D2942E0}">
  <cacheSource type="worksheet">
    <worksheetSource ref="A1:E10" sheet="Synthese_Velos"/>
  </cacheSource>
  <cacheFields count="5">
    <cacheField name="Date_Jour" numFmtId="164">
      <sharedItems containsSemiMixedTypes="0" containsNonDate="0" containsDate="1" containsString="0" minDate="2025-12-24T00:00:00" maxDate="2026-01-02T00:00:00" count="9"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</sharedItems>
    </cacheField>
    <cacheField name="Nom_Jour" numFmtId="0">
      <sharedItems/>
    </cacheField>
    <cacheField name="Occupants" numFmtId="0">
      <sharedItems containsSemiMixedTypes="0" containsString="0" containsNumber="1" containsInteger="1" minValue="289" maxValue="290"/>
    </cacheField>
    <cacheField name="Capacite" numFmtId="0">
      <sharedItems containsSemiMixedTypes="0" containsString="0" containsNumber="1" containsInteger="1" minValue="703" maxValue="703"/>
    </cacheField>
    <cacheField name="Taux" numFmtId="0">
      <sharedItems containsSemiMixedTypes="0" containsString="0" containsNumber="1" minValue="38.299999999999997" maxValue="41.3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s v="Mercredi"/>
    <n v="290"/>
    <n v="703"/>
    <n v="41.36"/>
  </r>
  <r>
    <x v="1"/>
    <s v="Jeudi"/>
    <n v="289"/>
    <n v="703"/>
    <n v="41.22"/>
  </r>
  <r>
    <x v="2"/>
    <s v="Vendredi"/>
    <n v="289"/>
    <n v="703"/>
    <n v="40.950000000000003"/>
  </r>
  <r>
    <x v="3"/>
    <s v="Samedi"/>
    <n v="289"/>
    <n v="703"/>
    <n v="40.840000000000003"/>
  </r>
  <r>
    <x v="4"/>
    <s v="Dimanche"/>
    <n v="289"/>
    <n v="703"/>
    <n v="40.229999999999997"/>
  </r>
  <r>
    <x v="5"/>
    <s v="Lundi"/>
    <n v="289"/>
    <n v="703"/>
    <n v="39.590000000000003"/>
  </r>
  <r>
    <x v="6"/>
    <s v="Mardi"/>
    <n v="289"/>
    <n v="703"/>
    <n v="39.89"/>
  </r>
  <r>
    <x v="7"/>
    <s v="Mercredi"/>
    <n v="289"/>
    <n v="703"/>
    <n v="40.409999999999997"/>
  </r>
  <r>
    <x v="8"/>
    <s v="Jeudi"/>
    <n v="289"/>
    <n v="703"/>
    <n v="38.29999999999999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1B3390-0817-409D-BAB9-589388434EF2}" name="Tableau croisé dynamique1" cacheId="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compact="0" compactData="0" multipleFieldFilters="0" chartFormat="8">
  <location ref="A2:B12" firstHeaderRow="1" firstDataRow="1" firstDataCol="1"/>
  <pivotFields count="5">
    <pivotField axis="axisRow" compact="0" numFmtId="164" outline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omme de Taux" fld="4" baseField="0" baseItem="0"/>
  </dataFields>
  <chartFormats count="2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workbookViewId="0">
      <selection activeCell="B13" sqref="B13"/>
    </sheetView>
  </sheetViews>
  <sheetFormatPr baseColWidth="10" defaultColWidth="9.140625" defaultRowHeight="15" x14ac:dyDescent="0.25"/>
  <cols>
    <col min="1" max="1" width="20" customWidth="1"/>
    <col min="2" max="2" width="14.5703125" customWidth="1"/>
    <col min="3" max="3" width="13.140625" customWidth="1"/>
    <col min="5" max="5" width="17.28515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12</v>
      </c>
      <c r="F1" s="5" t="s">
        <v>15</v>
      </c>
    </row>
    <row r="2" spans="1:6" x14ac:dyDescent="0.25">
      <c r="A2" s="2">
        <v>46015</v>
      </c>
      <c r="B2" t="s">
        <v>5</v>
      </c>
      <c r="C2">
        <v>4035</v>
      </c>
      <c r="D2">
        <v>11991</v>
      </c>
      <c r="E2">
        <v>33.65</v>
      </c>
      <c r="F2" s="6">
        <f>AVERAGE(E2:E10)</f>
        <v>31.786666666666672</v>
      </c>
    </row>
    <row r="3" spans="1:6" x14ac:dyDescent="0.25">
      <c r="A3" s="2">
        <v>46016</v>
      </c>
      <c r="B3" t="s">
        <v>6</v>
      </c>
      <c r="C3">
        <v>2606</v>
      </c>
      <c r="D3">
        <v>11991</v>
      </c>
      <c r="E3">
        <v>21.73</v>
      </c>
      <c r="F3" s="6"/>
    </row>
    <row r="4" spans="1:6" x14ac:dyDescent="0.25">
      <c r="A4" s="2">
        <v>46017</v>
      </c>
      <c r="B4" t="s">
        <v>7</v>
      </c>
      <c r="C4">
        <v>3745</v>
      </c>
      <c r="D4">
        <v>11991</v>
      </c>
      <c r="E4">
        <v>31.23</v>
      </c>
      <c r="F4" s="6"/>
    </row>
    <row r="5" spans="1:6" x14ac:dyDescent="0.25">
      <c r="A5" s="2">
        <v>46018</v>
      </c>
      <c r="B5" t="s">
        <v>8</v>
      </c>
      <c r="C5">
        <v>3846</v>
      </c>
      <c r="D5">
        <v>11991</v>
      </c>
      <c r="E5">
        <v>32.08</v>
      </c>
      <c r="F5" s="6"/>
    </row>
    <row r="6" spans="1:6" x14ac:dyDescent="0.25">
      <c r="A6" s="2">
        <v>46019</v>
      </c>
      <c r="B6" t="s">
        <v>9</v>
      </c>
      <c r="C6">
        <v>3462</v>
      </c>
      <c r="D6">
        <v>11991</v>
      </c>
      <c r="E6">
        <v>28.88</v>
      </c>
      <c r="F6" s="6"/>
    </row>
    <row r="7" spans="1:6" x14ac:dyDescent="0.25">
      <c r="A7" s="2">
        <v>46020</v>
      </c>
      <c r="B7" t="s">
        <v>10</v>
      </c>
      <c r="C7">
        <v>4101</v>
      </c>
      <c r="D7">
        <v>11991</v>
      </c>
      <c r="E7">
        <v>34.21</v>
      </c>
      <c r="F7" s="6"/>
    </row>
    <row r="8" spans="1:6" x14ac:dyDescent="0.25">
      <c r="A8" s="2">
        <v>46021</v>
      </c>
      <c r="B8" t="s">
        <v>11</v>
      </c>
      <c r="C8">
        <v>4305</v>
      </c>
      <c r="D8">
        <v>11991</v>
      </c>
      <c r="E8">
        <v>35.9</v>
      </c>
      <c r="F8" s="6"/>
    </row>
    <row r="9" spans="1:6" x14ac:dyDescent="0.25">
      <c r="A9" s="2">
        <v>46022</v>
      </c>
      <c r="B9" t="s">
        <v>5</v>
      </c>
      <c r="C9">
        <v>4121</v>
      </c>
      <c r="D9">
        <v>11991</v>
      </c>
      <c r="E9">
        <v>34.369999999999997</v>
      </c>
      <c r="F9" s="6"/>
    </row>
    <row r="10" spans="1:6" x14ac:dyDescent="0.25">
      <c r="A10" s="2">
        <v>46023</v>
      </c>
      <c r="B10" t="s">
        <v>6</v>
      </c>
      <c r="C10">
        <v>4080</v>
      </c>
      <c r="D10">
        <v>11991</v>
      </c>
      <c r="E10">
        <v>34.03</v>
      </c>
      <c r="F10" s="6"/>
    </row>
  </sheetData>
  <mergeCells count="1">
    <mergeCell ref="F2:F10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tabSelected="1" workbookViewId="0">
      <selection activeCell="L6" sqref="L6"/>
    </sheetView>
  </sheetViews>
  <sheetFormatPr baseColWidth="10" defaultColWidth="9.140625" defaultRowHeight="15" x14ac:dyDescent="0.25"/>
  <cols>
    <col min="1" max="1" width="13.7109375" customWidth="1"/>
    <col min="2" max="2" width="12" customWidth="1"/>
    <col min="3" max="3" width="10.140625" customWidth="1"/>
  </cols>
  <sheetData>
    <row r="1" spans="1:5" x14ac:dyDescent="0.25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46015</v>
      </c>
      <c r="B2" t="s">
        <v>5</v>
      </c>
      <c r="C2">
        <v>290</v>
      </c>
      <c r="D2">
        <v>703</v>
      </c>
      <c r="E2">
        <v>41.36</v>
      </c>
    </row>
    <row r="3" spans="1:5" x14ac:dyDescent="0.25">
      <c r="A3" s="2">
        <v>46016</v>
      </c>
      <c r="B3" t="s">
        <v>6</v>
      </c>
      <c r="C3">
        <v>289</v>
      </c>
      <c r="D3">
        <v>703</v>
      </c>
      <c r="E3">
        <v>41.22</v>
      </c>
    </row>
    <row r="4" spans="1:5" x14ac:dyDescent="0.25">
      <c r="A4" s="2">
        <v>46017</v>
      </c>
      <c r="B4" t="s">
        <v>7</v>
      </c>
      <c r="C4">
        <v>289</v>
      </c>
      <c r="D4">
        <v>703</v>
      </c>
      <c r="E4">
        <v>40.950000000000003</v>
      </c>
    </row>
    <row r="5" spans="1:5" x14ac:dyDescent="0.25">
      <c r="A5" s="2">
        <v>46018</v>
      </c>
      <c r="B5" t="s">
        <v>8</v>
      </c>
      <c r="C5">
        <v>289</v>
      </c>
      <c r="D5">
        <v>703</v>
      </c>
      <c r="E5">
        <v>40.840000000000003</v>
      </c>
    </row>
    <row r="6" spans="1:5" x14ac:dyDescent="0.25">
      <c r="A6" s="2">
        <v>46019</v>
      </c>
      <c r="B6" t="s">
        <v>9</v>
      </c>
      <c r="C6">
        <v>289</v>
      </c>
      <c r="D6">
        <v>703</v>
      </c>
      <c r="E6">
        <v>40.229999999999997</v>
      </c>
    </row>
    <row r="7" spans="1:5" x14ac:dyDescent="0.25">
      <c r="A7" s="2">
        <v>46020</v>
      </c>
      <c r="B7" t="s">
        <v>10</v>
      </c>
      <c r="C7">
        <v>289</v>
      </c>
      <c r="D7">
        <v>703</v>
      </c>
      <c r="E7">
        <v>39.590000000000003</v>
      </c>
    </row>
    <row r="8" spans="1:5" x14ac:dyDescent="0.25">
      <c r="A8" s="2">
        <v>46021</v>
      </c>
      <c r="B8" t="s">
        <v>11</v>
      </c>
      <c r="C8">
        <v>289</v>
      </c>
      <c r="D8">
        <v>703</v>
      </c>
      <c r="E8">
        <v>39.89</v>
      </c>
    </row>
    <row r="9" spans="1:5" x14ac:dyDescent="0.25">
      <c r="A9" s="2">
        <v>46022</v>
      </c>
      <c r="B9" t="s">
        <v>5</v>
      </c>
      <c r="C9">
        <v>289</v>
      </c>
      <c r="D9">
        <v>703</v>
      </c>
      <c r="E9">
        <v>40.409999999999997</v>
      </c>
    </row>
    <row r="10" spans="1:5" x14ac:dyDescent="0.25">
      <c r="A10" s="2">
        <v>46023</v>
      </c>
      <c r="B10" t="s">
        <v>6</v>
      </c>
      <c r="C10">
        <v>289</v>
      </c>
      <c r="D10">
        <v>703</v>
      </c>
      <c r="E10">
        <v>38.299999999999997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"/>
  <sheetViews>
    <sheetView topLeftCell="A14" workbookViewId="0">
      <selection activeCell="D11" sqref="D11"/>
    </sheetView>
  </sheetViews>
  <sheetFormatPr baseColWidth="10" defaultColWidth="9.140625" defaultRowHeight="15" x14ac:dyDescent="0.25"/>
  <cols>
    <col min="1" max="1" width="15.42578125" customWidth="1"/>
    <col min="3" max="3" width="10.5703125" customWidth="1"/>
  </cols>
  <sheetData>
    <row r="1" spans="1:5" x14ac:dyDescent="0.25">
      <c r="A1" s="1" t="s">
        <v>0</v>
      </c>
      <c r="B1" s="1" t="s">
        <v>1</v>
      </c>
      <c r="C1" s="4" t="s">
        <v>2</v>
      </c>
      <c r="D1" s="1" t="s">
        <v>3</v>
      </c>
      <c r="E1" s="1" t="s">
        <v>4</v>
      </c>
    </row>
    <row r="2" spans="1:5" x14ac:dyDescent="0.25">
      <c r="A2" s="2">
        <v>46015</v>
      </c>
      <c r="B2" t="s">
        <v>5</v>
      </c>
      <c r="C2">
        <v>4325.863636363636</v>
      </c>
      <c r="D2">
        <v>12694</v>
      </c>
      <c r="E2">
        <v>34.08</v>
      </c>
    </row>
    <row r="3" spans="1:5" x14ac:dyDescent="0.25">
      <c r="A3" s="2">
        <v>46016</v>
      </c>
      <c r="B3" t="s">
        <v>6</v>
      </c>
      <c r="C3">
        <v>2895.9027777777778</v>
      </c>
      <c r="D3">
        <v>12694</v>
      </c>
      <c r="E3">
        <v>22.81</v>
      </c>
    </row>
    <row r="4" spans="1:5" x14ac:dyDescent="0.25">
      <c r="A4" s="2">
        <v>46017</v>
      </c>
      <c r="B4" t="s">
        <v>7</v>
      </c>
      <c r="C4">
        <v>4032.9305555555561</v>
      </c>
      <c r="D4">
        <v>12694</v>
      </c>
      <c r="E4">
        <v>31.77</v>
      </c>
    </row>
    <row r="5" spans="1:5" x14ac:dyDescent="0.25">
      <c r="A5" s="2">
        <v>46018</v>
      </c>
      <c r="B5" t="s">
        <v>8</v>
      </c>
      <c r="C5">
        <v>4133.8472222222226</v>
      </c>
      <c r="D5">
        <v>12694</v>
      </c>
      <c r="E5">
        <v>32.57</v>
      </c>
    </row>
    <row r="6" spans="1:5" x14ac:dyDescent="0.25">
      <c r="A6" s="2">
        <v>46019</v>
      </c>
      <c r="B6" t="s">
        <v>9</v>
      </c>
      <c r="C6">
        <v>3745.7482517482522</v>
      </c>
      <c r="D6">
        <v>12694</v>
      </c>
      <c r="E6">
        <v>29.51</v>
      </c>
    </row>
    <row r="7" spans="1:5" x14ac:dyDescent="0.25">
      <c r="A7" s="2">
        <v>46020</v>
      </c>
      <c r="B7" t="s">
        <v>10</v>
      </c>
      <c r="C7">
        <v>4379.8194444444443</v>
      </c>
      <c r="D7">
        <v>12694</v>
      </c>
      <c r="E7">
        <v>34.5</v>
      </c>
    </row>
    <row r="8" spans="1:5" x14ac:dyDescent="0.25">
      <c r="A8" s="2">
        <v>46021</v>
      </c>
      <c r="B8" t="s">
        <v>11</v>
      </c>
      <c r="C8">
        <v>4585.6944444444443</v>
      </c>
      <c r="D8">
        <v>12694</v>
      </c>
      <c r="E8">
        <v>36.119999999999997</v>
      </c>
    </row>
    <row r="9" spans="1:5" x14ac:dyDescent="0.25">
      <c r="A9" s="2">
        <v>46022</v>
      </c>
      <c r="B9" t="s">
        <v>5</v>
      </c>
      <c r="C9">
        <v>4405.729166666667</v>
      </c>
      <c r="D9">
        <v>12694</v>
      </c>
      <c r="E9">
        <v>34.71</v>
      </c>
    </row>
    <row r="10" spans="1:5" x14ac:dyDescent="0.25">
      <c r="A10" s="2">
        <v>46023</v>
      </c>
      <c r="B10" t="s">
        <v>6</v>
      </c>
      <c r="C10">
        <v>4349.8557692307704</v>
      </c>
      <c r="D10">
        <v>12694</v>
      </c>
      <c r="E10">
        <v>34.270000000000003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F94FF-58CD-48BF-B5A6-E7A14B63011A}">
  <dimension ref="A2:B12"/>
  <sheetViews>
    <sheetView workbookViewId="0">
      <selection activeCell="F19" sqref="E19:F19"/>
    </sheetView>
  </sheetViews>
  <sheetFormatPr baseColWidth="10" defaultRowHeight="15" x14ac:dyDescent="0.25"/>
  <cols>
    <col min="1" max="1" width="12.5703125" bestFit="1" customWidth="1"/>
    <col min="2" max="2" width="15" bestFit="1" customWidth="1"/>
  </cols>
  <sheetData>
    <row r="2" spans="1:2" x14ac:dyDescent="0.25">
      <c r="A2" s="3" t="s">
        <v>0</v>
      </c>
      <c r="B2" t="s">
        <v>13</v>
      </c>
    </row>
    <row r="3" spans="1:2" x14ac:dyDescent="0.25">
      <c r="A3" s="2">
        <v>46015</v>
      </c>
      <c r="B3">
        <v>41.36</v>
      </c>
    </row>
    <row r="4" spans="1:2" x14ac:dyDescent="0.25">
      <c r="A4" s="2">
        <v>46016</v>
      </c>
      <c r="B4">
        <v>41.22</v>
      </c>
    </row>
    <row r="5" spans="1:2" x14ac:dyDescent="0.25">
      <c r="A5" s="2">
        <v>46017</v>
      </c>
      <c r="B5">
        <v>40.950000000000003</v>
      </c>
    </row>
    <row r="6" spans="1:2" x14ac:dyDescent="0.25">
      <c r="A6" s="2">
        <v>46018</v>
      </c>
      <c r="B6">
        <v>40.840000000000003</v>
      </c>
    </row>
    <row r="7" spans="1:2" x14ac:dyDescent="0.25">
      <c r="A7" s="2">
        <v>46019</v>
      </c>
      <c r="B7">
        <v>40.229999999999997</v>
      </c>
    </row>
    <row r="8" spans="1:2" x14ac:dyDescent="0.25">
      <c r="A8" s="2">
        <v>46020</v>
      </c>
      <c r="B8">
        <v>39.590000000000003</v>
      </c>
    </row>
    <row r="9" spans="1:2" x14ac:dyDescent="0.25">
      <c r="A9" s="2">
        <v>46021</v>
      </c>
      <c r="B9">
        <v>39.89</v>
      </c>
    </row>
    <row r="10" spans="1:2" x14ac:dyDescent="0.25">
      <c r="A10" s="2">
        <v>46022</v>
      </c>
      <c r="B10">
        <v>40.409999999999997</v>
      </c>
    </row>
    <row r="11" spans="1:2" x14ac:dyDescent="0.25">
      <c r="A11" s="2">
        <v>46023</v>
      </c>
      <c r="B11">
        <v>38.299999999999997</v>
      </c>
    </row>
    <row r="12" spans="1:2" x14ac:dyDescent="0.25">
      <c r="A12" s="2" t="s">
        <v>14</v>
      </c>
      <c r="B12">
        <v>362.79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Synthese_Voitures</vt:lpstr>
      <vt:lpstr>Synthese_Velos</vt:lpstr>
      <vt:lpstr>Synthese_Globale_Ville</vt:lpstr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Rodrigue-Emmanuel Tombe</cp:lastModifiedBy>
  <dcterms:created xsi:type="dcterms:W3CDTF">2026-01-12T13:51:00Z</dcterms:created>
  <dcterms:modified xsi:type="dcterms:W3CDTF">2026-01-15T11:24:48Z</dcterms:modified>
</cp:coreProperties>
</file>